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31252dfb072cb9a8/Desktop/"/>
    </mc:Choice>
  </mc:AlternateContent>
  <xr:revisionPtr revIDLastSave="2" documentId="8_{DF31D70D-3E37-4D94-BC29-709E1F721F23}" xr6:coauthVersionLast="47" xr6:coauthVersionMax="47" xr10:uidLastSave="{F69BEEFE-CD70-46B8-AF34-5C8365F43A73}"/>
  <bookViews>
    <workbookView xWindow="-110" yWindow="-110" windowWidth="19420" windowHeight="10300" activeTab="3" xr2:uid="{3B02D2F4-53D3-4175-8723-A91A01155E5C}"/>
  </bookViews>
  <sheets>
    <sheet name="Bài 1" sheetId="4" r:id="rId1"/>
    <sheet name="Bài 2" sheetId="2" r:id="rId2"/>
    <sheet name="Bài 3" sheetId="3" r:id="rId3"/>
    <sheet name="Bài 4" sheetId="1"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4" i="1" l="1"/>
  <c r="E10" i="1"/>
  <c r="E11" i="1"/>
  <c r="E12" i="1"/>
  <c r="E13" i="1"/>
  <c r="E9" i="1"/>
  <c r="E3" i="1"/>
  <c r="E4" i="1"/>
  <c r="E5" i="1"/>
  <c r="E6" i="1"/>
  <c r="E7" i="1"/>
  <c r="E2" i="1"/>
  <c r="D3" i="1"/>
  <c r="D4" i="1"/>
  <c r="D5" i="1"/>
  <c r="D6" i="1"/>
  <c r="D7" i="1"/>
  <c r="D2" i="1"/>
  <c r="C7" i="1"/>
  <c r="C3" i="1"/>
  <c r="C4" i="1"/>
  <c r="C5" i="1"/>
  <c r="C6" i="1"/>
  <c r="C2" i="1"/>
  <c r="B17" i="3" a="1"/>
  <c r="B17" i="3" s="1"/>
  <c r="D17" i="3" a="1"/>
  <c r="D17" i="3" s="1"/>
  <c r="C17" i="3" a="1"/>
  <c r="C17" i="3" s="1"/>
  <c r="D14" i="3"/>
  <c r="C14" i="3"/>
  <c r="B14" i="3"/>
  <c r="F4" i="3"/>
  <c r="F5" i="3"/>
  <c r="F6" i="3"/>
  <c r="F7" i="3"/>
  <c r="F8" i="3"/>
  <c r="F3" i="3"/>
  <c r="E4" i="3"/>
  <c r="E5" i="3"/>
  <c r="E6" i="3"/>
  <c r="E7" i="3"/>
  <c r="E8" i="3"/>
  <c r="E3" i="3"/>
  <c r="C4" i="3"/>
  <c r="C5" i="3"/>
  <c r="C6" i="3"/>
  <c r="C7" i="3"/>
  <c r="C8" i="3"/>
  <c r="C3" i="3"/>
  <c r="G15" i="2"/>
  <c r="F15" i="2"/>
  <c r="E15" i="2"/>
  <c r="H4" i="2"/>
  <c r="H5" i="2"/>
  <c r="H6" i="2"/>
  <c r="H7" i="2"/>
  <c r="H3" i="2"/>
  <c r="F4" i="2"/>
  <c r="F5" i="2"/>
  <c r="F6" i="2"/>
  <c r="F7" i="2"/>
  <c r="F3" i="2"/>
  <c r="D4" i="2"/>
  <c r="D5" i="2"/>
  <c r="D6" i="2"/>
  <c r="D7" i="2"/>
  <c r="D3" i="2"/>
  <c r="C3" i="4"/>
  <c r="G15" i="4"/>
  <c r="F15" i="4"/>
  <c r="G14" i="4" a="1"/>
  <c r="G14" i="4" s="1"/>
  <c r="F14" i="4" a="1"/>
  <c r="F14" i="4" s="1"/>
  <c r="G4" i="4"/>
  <c r="G5" i="4"/>
  <c r="G6" i="4"/>
  <c r="G7" i="4"/>
  <c r="G8" i="4"/>
  <c r="G9" i="4"/>
  <c r="G3" i="4"/>
  <c r="F4" i="4"/>
  <c r="F5" i="4"/>
  <c r="F6" i="4"/>
  <c r="F7" i="4"/>
  <c r="F8" i="4"/>
  <c r="F9" i="4"/>
  <c r="F3" i="4"/>
  <c r="D4" i="4"/>
  <c r="D5" i="4"/>
  <c r="D6" i="4"/>
  <c r="D7" i="4"/>
  <c r="D8" i="4"/>
  <c r="D9" i="4"/>
  <c r="D3" i="4"/>
  <c r="C4" i="4"/>
  <c r="C5" i="4"/>
  <c r="C6" i="4"/>
  <c r="C7" i="4"/>
  <c r="C8" i="4"/>
  <c r="C9" i="4"/>
</calcChain>
</file>

<file path=xl/sharedStrings.xml><?xml version="1.0" encoding="utf-8"?>
<sst xmlns="http://schemas.openxmlformats.org/spreadsheetml/2006/main" count="143" uniqueCount="115">
  <si>
    <t>BẢNG THỐNG KÊ BÁNG HÀNG</t>
  </si>
  <si>
    <t>STT</t>
  </si>
  <si>
    <t>Mã hàng</t>
  </si>
  <si>
    <t>Tên hàng</t>
  </si>
  <si>
    <t>Đơn vị</t>
  </si>
  <si>
    <t>Số lượng</t>
  </si>
  <si>
    <t>Thành tiền</t>
  </si>
  <si>
    <t>Giá tiền</t>
  </si>
  <si>
    <t>GLT</t>
  </si>
  <si>
    <t>MHH</t>
  </si>
  <si>
    <t>GNT</t>
  </si>
  <si>
    <t>MCS</t>
  </si>
  <si>
    <t>BẢNG DANH MỤC</t>
  </si>
  <si>
    <t>Giá</t>
  </si>
  <si>
    <t>Thùng</t>
  </si>
  <si>
    <t>Bao</t>
  </si>
  <si>
    <t>Gạo lứt</t>
  </si>
  <si>
    <t>Gạo Nàng Thơm</t>
  </si>
  <si>
    <t>Mì hảo hảo</t>
  </si>
  <si>
    <t>Mì colusa</t>
  </si>
  <si>
    <t>BẢNG THỐNG KÊ TỔNG TIỀN BÁN ĐƯỢC</t>
  </si>
  <si>
    <t>Gạo</t>
  </si>
  <si>
    <t>Mì</t>
  </si>
  <si>
    <t>1. Nhập và định dạng bảng sau:</t>
  </si>
  <si>
    <t>2. Lập công thức điền dữ liệu cho cột Tên hàng, Đơn vị dựa vào cột ,Mã hàng và Bảng Danh Mục.</t>
  </si>
  <si>
    <t xml:space="preserve">4.Lập công thức tính tổng số tiền bán được của các mặt hàng Gạo, Mì ở bảng Thống kê tiền bán được.   </t>
  </si>
  <si>
    <t xml:space="preserve">3. Lập công thức điền dữ liệu cho cột Giá tiền dựa vào dựa vào cột Mã  hàng và Bảng Danh Mục.   Lập công thức tính cột Thành tiền, biết rằng  Thành tiền = Giá tiền * Số lượng.   </t>
  </si>
  <si>
    <t>BẢNG LƯƠNG THÁNG 11/2017</t>
  </si>
  <si>
    <t>TỔNG CỘNG</t>
  </si>
  <si>
    <t>Mã nhân viên</t>
  </si>
  <si>
    <t>K01</t>
  </si>
  <si>
    <t>K02</t>
  </si>
  <si>
    <t>H01</t>
  </si>
  <si>
    <t>T02</t>
  </si>
  <si>
    <t>H03</t>
  </si>
  <si>
    <t xml:space="preserve">Thanh </t>
  </si>
  <si>
    <t>Hoàng</t>
  </si>
  <si>
    <t>My</t>
  </si>
  <si>
    <t>Lê</t>
  </si>
  <si>
    <t>Nguyên</t>
  </si>
  <si>
    <t>Phòng Ban</t>
  </si>
  <si>
    <t>Chức vụ</t>
  </si>
  <si>
    <t>Phụ cấp chức vụ</t>
  </si>
  <si>
    <t>Lương cơ bản</t>
  </si>
  <si>
    <t>Thực lãnh</t>
  </si>
  <si>
    <t>Nhân viên</t>
  </si>
  <si>
    <t>Bảng tra phụ cấp</t>
  </si>
  <si>
    <t>Mã chức vụ</t>
  </si>
  <si>
    <t>GĐ</t>
  </si>
  <si>
    <t>PGĐ</t>
  </si>
  <si>
    <t>TP</t>
  </si>
  <si>
    <t>NV</t>
  </si>
  <si>
    <t>Phụ cấp</t>
  </si>
  <si>
    <t>BẢNG TRA PHÒNG BAN</t>
  </si>
  <si>
    <t>Mã phòng ban</t>
  </si>
  <si>
    <t>Tên phòng ban</t>
  </si>
  <si>
    <t>Kế hoạch</t>
  </si>
  <si>
    <t>Hành chính</t>
  </si>
  <si>
    <t>Tài vụ</t>
  </si>
  <si>
    <t>1. Nhập và định dạng bảng tính sau:</t>
  </si>
  <si>
    <t>2. Lập công thức điền dữ liệu cho cột Phòng ban dựa vào ký tự đầu của mã nhân viên và bảng Tra phòng ban.</t>
  </si>
  <si>
    <t>3. Lập công thức điền dữ liệu cho cột Phụ cấp chức vụ dựa vào cột Chức vụ và Bảng tra phụ cấp.</t>
  </si>
  <si>
    <t xml:space="preserve">4.Lập công thức để tính dữ liệu cho cột Thực lãnh, trong đó Thực lãnh = Lương cơ bản +Phụ cấp chức vụ.       - Lập công thức để tính tổng của lần lượt các cột: Phụ cấp chức vụ, Lương cơ bản, Thực lãnh. </t>
  </si>
  <si>
    <t xml:space="preserve">K  </t>
  </si>
  <si>
    <t xml:space="preserve">H  </t>
  </si>
  <si>
    <t xml:space="preserve">T  </t>
  </si>
  <si>
    <t>Tổng Phụ cấp chức vụ</t>
  </si>
  <si>
    <t>Tổng lương cơ bản</t>
  </si>
  <si>
    <t>Tổng thực lãnh</t>
  </si>
  <si>
    <t>BẢNG THANH TOÁN</t>
  </si>
  <si>
    <t>Mã sách</t>
  </si>
  <si>
    <t>Tên sách</t>
  </si>
  <si>
    <t>Đơn giá</t>
  </si>
  <si>
    <t>TO1</t>
  </si>
  <si>
    <t>TO2</t>
  </si>
  <si>
    <t>VL1</t>
  </si>
  <si>
    <t>HH1</t>
  </si>
  <si>
    <t>HH2</t>
  </si>
  <si>
    <t>VL2</t>
  </si>
  <si>
    <t>BẢNG ĐƠN GIÁ</t>
  </si>
  <si>
    <t>TO</t>
  </si>
  <si>
    <t>HH</t>
  </si>
  <si>
    <t>VL</t>
  </si>
  <si>
    <t>Vật lý</t>
  </si>
  <si>
    <t>Hóa học</t>
  </si>
  <si>
    <t>Toán học</t>
  </si>
  <si>
    <t>Tổng tiền</t>
  </si>
  <si>
    <t>1. Nhập và định dạng bảng tính:</t>
  </si>
  <si>
    <t>2. Lập công thức điền dữ liệu cho cột Tên sách dựa vào hai ký tự đầu của Mã sách và Bảng đơn giá.</t>
  </si>
  <si>
    <t>3. Lập công thức điền dữ liệu cho cột: Đơn giá dựa vào hai ký tự đầu của Mã sách và Bảng đơn giá. Thành tiền, biết rằng Thành tiền = Đơn giá * Số lượng.</t>
  </si>
  <si>
    <t>4. Lập công thức điền dữ liệu cho ô Tổng tiền của từng loại sách trong Bảng đơn giá.</t>
  </si>
  <si>
    <t>Cách 2</t>
  </si>
  <si>
    <t>Mã tuyển dụng</t>
  </si>
  <si>
    <t>Tên công ty</t>
  </si>
  <si>
    <t>Vị trí việc làm</t>
  </si>
  <si>
    <t>Ghi chú</t>
  </si>
  <si>
    <t>TMA02KT</t>
  </si>
  <si>
    <t>FPT05LT</t>
  </si>
  <si>
    <t>TMA15BA</t>
  </si>
  <si>
    <t>TMA20LT</t>
  </si>
  <si>
    <t>FPT05KT</t>
  </si>
  <si>
    <t>FPT07BA</t>
  </si>
  <si>
    <t>BẢNG TRA CÔNG VIỆC</t>
  </si>
  <si>
    <t>Mã công việc</t>
  </si>
  <si>
    <t>Tên công việc</t>
  </si>
  <si>
    <t>Kế toán</t>
  </si>
  <si>
    <t>Lập trình viên</t>
  </si>
  <si>
    <t>Phân tích kinh doanh</t>
  </si>
  <si>
    <t>BA</t>
  </si>
  <si>
    <t>LT</t>
  </si>
  <si>
    <t>KT</t>
  </si>
  <si>
    <t>1. (1 điểm) Nhập và định dạng bảng tính sau:</t>
  </si>
  <si>
    <t>3.(1 điểm) Lập công thức điền dữ liệu cho cột Vị trí việc làm dựa vào hai ký tự cuối của Mã tuyển dụng và Bảng Tra Công Việc.</t>
  </si>
  <si>
    <t>4.(1 điểm) Lập công thức điền dữ liệu cho cột Số lượng, với số lượng là hai ký tự 4 và 5 từ trái qua phải trong Mã tuyển dụng.</t>
  </si>
  <si>
    <t xml:space="preserve">2.(1 điểm) Lập công thức điền dữ liệu cho cột Tên công ty, dựa vào 3 ký tự đầu của Mã tuyển dụng nếu là TMA thì điền dữ liệu là TMA Solutions Bình Định, ngược lại thì điền là FPT-SoftwarE Bình Định.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</si>
</sst>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6"/>
      <color theme="1"/>
      <name val="Calibri"/>
      <family val="2"/>
      <scheme val="minor"/>
    </font>
    <font>
      <b/>
      <sz val="16"/>
      <color theme="1"/>
      <name val="Calibri"/>
      <family val="2"/>
      <scheme val="minor"/>
    </font>
    <font>
      <sz val="14"/>
      <color theme="1"/>
      <name val="Calibri"/>
      <family val="2"/>
      <scheme val="minor"/>
    </font>
    <font>
      <b/>
      <sz val="14"/>
      <color theme="1"/>
      <name val="Calibri"/>
      <family val="2"/>
      <scheme val="minor"/>
    </font>
  </fonts>
  <fills count="2">
    <fill>
      <patternFill patternType="none"/>
    </fill>
    <fill>
      <patternFill patternType="gray125"/>
    </fill>
  </fills>
  <borders count="9">
    <border>
      <left/>
      <right/>
      <top/>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medium">
        <color indexed="64"/>
      </left>
      <right style="medium">
        <color indexed="64"/>
      </right>
      <top style="medium">
        <color indexed="64"/>
      </top>
      <bottom style="thick">
        <color indexed="64"/>
      </bottom>
      <diagonal/>
    </border>
    <border>
      <left style="medium">
        <color indexed="64"/>
      </left>
      <right style="medium">
        <color indexed="64"/>
      </right>
      <top style="thick">
        <color indexed="64"/>
      </top>
      <bottom style="thick">
        <color indexed="64"/>
      </bottom>
      <diagonal/>
    </border>
    <border>
      <left style="medium">
        <color indexed="64"/>
      </left>
      <right style="medium">
        <color indexed="64"/>
      </right>
      <top style="thick">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22" fontId="0" fillId="0" borderId="0" xfId="0" applyNumberFormat="1"/>
    <xf numFmtId="0" fontId="1" fillId="0" borderId="0" xfId="0" applyFont="1"/>
    <xf numFmtId="0" fontId="2" fillId="0" borderId="1" xfId="0" applyFont="1" applyBorder="1" applyAlignment="1">
      <alignment horizontal="center"/>
    </xf>
    <xf numFmtId="0" fontId="1" fillId="0" borderId="1" xfId="0" applyFont="1" applyBorder="1" applyAlignment="1">
      <alignment horizontal="center"/>
    </xf>
    <xf numFmtId="0" fontId="3" fillId="0" borderId="1" xfId="0" applyFont="1" applyBorder="1" applyAlignment="1">
      <alignment horizontal="center"/>
    </xf>
    <xf numFmtId="0" fontId="4" fillId="0" borderId="1" xfId="0" applyFont="1" applyBorder="1" applyAlignment="1">
      <alignment horizontal="center"/>
    </xf>
    <xf numFmtId="0" fontId="4" fillId="0" borderId="1" xfId="0" applyFont="1" applyBorder="1"/>
    <xf numFmtId="0" fontId="3" fillId="0" borderId="1" xfId="0" applyFont="1" applyBorder="1"/>
    <xf numFmtId="0" fontId="0" fillId="0" borderId="0" xfId="0" applyAlignment="1">
      <alignment horizontal="left"/>
    </xf>
    <xf numFmtId="0" fontId="3" fillId="0" borderId="1" xfId="0" applyFont="1" applyBorder="1" applyAlignment="1">
      <alignment horizontal="right"/>
    </xf>
    <xf numFmtId="0" fontId="1" fillId="0" borderId="0" xfId="0" applyFont="1" applyAlignment="1">
      <alignment horizontal="left" wrapText="1"/>
    </xf>
    <xf numFmtId="0" fontId="1" fillId="0" borderId="0" xfId="0" applyFont="1" applyAlignment="1">
      <alignment horizontal="left"/>
    </xf>
    <xf numFmtId="0" fontId="2" fillId="0" borderId="0" xfId="0" applyFont="1" applyAlignment="1">
      <alignment horizontal="center"/>
    </xf>
    <xf numFmtId="0" fontId="4" fillId="0" borderId="0" xfId="0" applyFont="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1" xfId="0" applyFont="1" applyBorder="1" applyAlignment="1">
      <alignment horizontal="center"/>
    </xf>
    <xf numFmtId="0" fontId="0" fillId="0" borderId="0" xfId="0" applyAlignment="1">
      <alignment horizontal="center"/>
    </xf>
    <xf numFmtId="0" fontId="0" fillId="0" borderId="0" xfId="0" applyAlignment="1">
      <alignment horizontal="left" wrapText="1"/>
    </xf>
    <xf numFmtId="0" fontId="0" fillId="0" borderId="0" xfId="0" applyAlignment="1">
      <alignment horizontal="left"/>
    </xf>
    <xf numFmtId="0" fontId="3" fillId="0" borderId="0" xfId="0" applyFont="1" applyAlignment="1">
      <alignment horizontal="center"/>
    </xf>
    <xf numFmtId="0" fontId="0" fillId="0" borderId="0" xfId="0" applyBorder="1"/>
    <xf numFmtId="0" fontId="4" fillId="0" borderId="2" xfId="0" applyFont="1" applyBorder="1"/>
    <xf numFmtId="0" fontId="4" fillId="0" borderId="5" xfId="0" applyFont="1" applyBorder="1"/>
    <xf numFmtId="0" fontId="3" fillId="0" borderId="2"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4" fillId="0" borderId="0" xfId="0" applyFont="1" applyFill="1" applyBorder="1"/>
    <xf numFmtId="0" fontId="4" fillId="0" borderId="8" xfId="0" applyFont="1" applyBorder="1"/>
    <xf numFmtId="0" fontId="0" fillId="0" borderId="8" xfId="0" applyBorder="1"/>
    <xf numFmtId="0" fontId="1" fillId="0" borderId="1" xfId="0" applyFont="1" applyBorder="1"/>
    <xf numFmtId="0" fontId="1" fillId="0" borderId="1" xfId="0" applyFont="1" applyBorder="1" applyAlignment="1">
      <alignment horizontal="center"/>
    </xf>
    <xf numFmtId="0" fontId="1" fillId="0" borderId="1" xfId="0" applyFont="1" applyBorder="1" applyAlignment="1">
      <alignment horizontal="left"/>
    </xf>
    <xf numFmtId="0" fontId="1" fillId="0" borderId="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E5097-6857-4E77-BE61-10997675969A}">
  <dimension ref="A1:AF23"/>
  <sheetViews>
    <sheetView zoomScale="70" zoomScaleNormal="70" workbookViewId="0">
      <selection activeCell="F15" sqref="F15"/>
    </sheetView>
  </sheetViews>
  <sheetFormatPr defaultRowHeight="14.5" x14ac:dyDescent="0.35"/>
  <cols>
    <col min="1" max="1" width="12.90625" customWidth="1"/>
    <col min="2" max="2" width="20.36328125" customWidth="1"/>
    <col min="3" max="3" width="23.7265625" customWidth="1"/>
    <col min="4" max="4" width="14.08984375" customWidth="1"/>
    <col min="5" max="5" width="18.36328125" customWidth="1"/>
    <col min="6" max="6" width="13.453125" customWidth="1"/>
    <col min="7" max="7" width="15.26953125" customWidth="1"/>
  </cols>
  <sheetData>
    <row r="1" spans="1:32" ht="21.5" thickBot="1" x14ac:dyDescent="0.55000000000000004">
      <c r="A1" s="13" t="s">
        <v>0</v>
      </c>
      <c r="B1" s="13"/>
      <c r="C1" s="13"/>
      <c r="D1" s="13"/>
      <c r="E1" s="13"/>
      <c r="F1" s="13"/>
      <c r="G1" s="13"/>
      <c r="I1" s="12" t="s">
        <v>23</v>
      </c>
      <c r="J1" s="12"/>
      <c r="K1" s="12"/>
      <c r="L1" s="12"/>
      <c r="M1" s="12"/>
      <c r="N1" s="2"/>
      <c r="O1" s="2"/>
      <c r="P1" s="2"/>
      <c r="Q1" s="2"/>
      <c r="R1" s="2"/>
      <c r="S1" s="2"/>
      <c r="T1" s="2"/>
      <c r="U1" s="2"/>
    </row>
    <row r="2" spans="1:32" ht="22" thickTop="1" thickBot="1" x14ac:dyDescent="0.55000000000000004">
      <c r="A2" s="3" t="s">
        <v>1</v>
      </c>
      <c r="B2" s="3" t="s">
        <v>2</v>
      </c>
      <c r="C2" s="3" t="s">
        <v>3</v>
      </c>
      <c r="D2" s="3" t="s">
        <v>4</v>
      </c>
      <c r="E2" s="3" t="s">
        <v>5</v>
      </c>
      <c r="F2" s="3" t="s">
        <v>7</v>
      </c>
      <c r="G2" s="3" t="s">
        <v>6</v>
      </c>
      <c r="I2" s="12" t="s">
        <v>24</v>
      </c>
      <c r="J2" s="12"/>
      <c r="K2" s="12"/>
      <c r="L2" s="12"/>
      <c r="M2" s="12"/>
      <c r="N2" s="12"/>
      <c r="O2" s="12"/>
      <c r="P2" s="12"/>
      <c r="Q2" s="12"/>
      <c r="R2" s="12"/>
      <c r="S2" s="12"/>
      <c r="T2" s="12"/>
      <c r="U2" s="12"/>
      <c r="V2" s="12"/>
      <c r="W2" s="12"/>
      <c r="X2" s="12"/>
    </row>
    <row r="3" spans="1:32" ht="22" customHeight="1" thickTop="1" thickBot="1" x14ac:dyDescent="0.55000000000000004">
      <c r="A3" s="4">
        <v>1</v>
      </c>
      <c r="B3" s="4" t="s">
        <v>8</v>
      </c>
      <c r="C3" s="4" t="str">
        <f>VLOOKUP(B3,$A$14:$D$17,2,0)</f>
        <v>Gạo lứt</v>
      </c>
      <c r="D3" s="4" t="str">
        <f>VLOOKUP(B3,$A$14:$D$17,3,0)</f>
        <v>Bao</v>
      </c>
      <c r="E3" s="4">
        <v>4</v>
      </c>
      <c r="F3" s="4">
        <f>VLOOKUP(B3,$A$14:$D$17,4,0)</f>
        <v>140</v>
      </c>
      <c r="G3" s="4">
        <f>E3*F3</f>
        <v>560</v>
      </c>
      <c r="I3" s="11" t="s">
        <v>26</v>
      </c>
      <c r="J3" s="11"/>
      <c r="K3" s="11"/>
      <c r="L3" s="11"/>
      <c r="M3" s="11"/>
      <c r="N3" s="11"/>
      <c r="O3" s="11"/>
      <c r="P3" s="11"/>
      <c r="Q3" s="11"/>
      <c r="R3" s="11"/>
      <c r="S3" s="11"/>
      <c r="T3" s="11"/>
      <c r="U3" s="11"/>
      <c r="V3" s="11"/>
      <c r="W3" s="11"/>
      <c r="X3" s="11"/>
      <c r="Y3" s="11"/>
      <c r="Z3" s="11"/>
      <c r="AA3" s="11"/>
      <c r="AB3" s="11"/>
      <c r="AC3" s="11"/>
      <c r="AD3" s="11"/>
      <c r="AE3" s="11"/>
      <c r="AF3" s="11"/>
    </row>
    <row r="4" spans="1:32" ht="22" thickTop="1" thickBot="1" x14ac:dyDescent="0.55000000000000004">
      <c r="A4" s="4">
        <v>2</v>
      </c>
      <c r="B4" s="4" t="s">
        <v>9</v>
      </c>
      <c r="C4" s="4" t="str">
        <f t="shared" ref="C4:C9" si="0">VLOOKUP(B4,$A$14:$D$17,2,0)</f>
        <v>Mì hảo hảo</v>
      </c>
      <c r="D4" s="4" t="str">
        <f t="shared" ref="D4:D9" si="1">VLOOKUP(B4,$A$14:$D$17,3,0)</f>
        <v>Thùng</v>
      </c>
      <c r="E4" s="4">
        <v>60</v>
      </c>
      <c r="F4" s="4">
        <f t="shared" ref="F4:F9" si="2">VLOOKUP(B4,$A$14:$D$17,4,0)</f>
        <v>200</v>
      </c>
      <c r="G4" s="4">
        <f t="shared" ref="G4:G9" si="3">E4*F4</f>
        <v>12000</v>
      </c>
      <c r="I4" s="12" t="s">
        <v>25</v>
      </c>
      <c r="J4" s="12"/>
      <c r="K4" s="12"/>
      <c r="L4" s="12"/>
      <c r="M4" s="12"/>
      <c r="N4" s="12"/>
      <c r="O4" s="12"/>
      <c r="P4" s="12"/>
      <c r="Q4" s="12"/>
      <c r="R4" s="12"/>
      <c r="S4" s="12"/>
      <c r="T4" s="12"/>
      <c r="U4" s="12"/>
      <c r="V4" s="12"/>
      <c r="W4" s="12"/>
      <c r="X4" s="12"/>
      <c r="Y4" s="12"/>
      <c r="Z4" s="12"/>
      <c r="AA4" s="12"/>
      <c r="AB4" s="12"/>
      <c r="AC4" s="12"/>
      <c r="AD4" s="12"/>
      <c r="AE4" s="12"/>
      <c r="AF4" s="12"/>
    </row>
    <row r="5" spans="1:32" ht="22" thickTop="1" thickBot="1" x14ac:dyDescent="0.55000000000000004">
      <c r="A5" s="4">
        <v>3</v>
      </c>
      <c r="B5" s="4" t="s">
        <v>8</v>
      </c>
      <c r="C5" s="4" t="str">
        <f t="shared" si="0"/>
        <v>Gạo lứt</v>
      </c>
      <c r="D5" s="4" t="str">
        <f t="shared" si="1"/>
        <v>Bao</v>
      </c>
      <c r="E5" s="4">
        <v>12</v>
      </c>
      <c r="F5" s="4">
        <f t="shared" si="2"/>
        <v>140</v>
      </c>
      <c r="G5" s="4">
        <f t="shared" si="3"/>
        <v>1680</v>
      </c>
      <c r="I5" s="2"/>
      <c r="J5" s="2"/>
      <c r="K5" s="2"/>
      <c r="L5" s="2"/>
      <c r="M5" s="2"/>
      <c r="N5" s="2"/>
      <c r="O5" s="2"/>
      <c r="P5" s="2"/>
      <c r="Q5" s="2"/>
      <c r="R5" s="2"/>
      <c r="S5" s="2"/>
      <c r="T5" s="2"/>
      <c r="U5" s="2"/>
    </row>
    <row r="6" spans="1:32" ht="22" thickTop="1" thickBot="1" x14ac:dyDescent="0.55000000000000004">
      <c r="A6" s="4">
        <v>4</v>
      </c>
      <c r="B6" s="4" t="s">
        <v>10</v>
      </c>
      <c r="C6" s="4" t="str">
        <f t="shared" si="0"/>
        <v>Gạo Nàng Thơm</v>
      </c>
      <c r="D6" s="4" t="str">
        <f t="shared" si="1"/>
        <v>Bao</v>
      </c>
      <c r="E6" s="4">
        <v>5</v>
      </c>
      <c r="F6" s="4">
        <f t="shared" si="2"/>
        <v>120</v>
      </c>
      <c r="G6" s="4">
        <f t="shared" si="3"/>
        <v>600</v>
      </c>
      <c r="I6" s="2"/>
      <c r="J6" s="2"/>
      <c r="K6" s="2"/>
      <c r="L6" s="2"/>
      <c r="M6" s="2"/>
      <c r="N6" s="2"/>
      <c r="O6" s="2"/>
      <c r="P6" s="2"/>
      <c r="Q6" s="2"/>
      <c r="R6" s="2"/>
      <c r="S6" s="2"/>
      <c r="T6" s="2"/>
      <c r="U6" s="2"/>
    </row>
    <row r="7" spans="1:32" ht="22" thickTop="1" thickBot="1" x14ac:dyDescent="0.55000000000000004">
      <c r="A7" s="4">
        <v>5</v>
      </c>
      <c r="B7" s="4" t="s">
        <v>11</v>
      </c>
      <c r="C7" s="4" t="str">
        <f t="shared" si="0"/>
        <v>Mì colusa</v>
      </c>
      <c r="D7" s="4" t="str">
        <f t="shared" si="1"/>
        <v>Thùng</v>
      </c>
      <c r="E7" s="4">
        <v>6</v>
      </c>
      <c r="F7" s="4">
        <f t="shared" si="2"/>
        <v>125</v>
      </c>
      <c r="G7" s="4">
        <f t="shared" si="3"/>
        <v>750</v>
      </c>
      <c r="I7" s="2"/>
      <c r="J7" s="2"/>
      <c r="K7" s="2"/>
      <c r="L7" s="2"/>
      <c r="M7" s="2"/>
      <c r="N7" s="2"/>
      <c r="O7" s="2"/>
      <c r="P7" s="2"/>
      <c r="Q7" s="2"/>
      <c r="R7" s="2"/>
      <c r="S7" s="2"/>
      <c r="T7" s="2"/>
      <c r="U7" s="2"/>
    </row>
    <row r="8" spans="1:32" ht="22" thickTop="1" thickBot="1" x14ac:dyDescent="0.55000000000000004">
      <c r="A8" s="4">
        <v>6</v>
      </c>
      <c r="B8" s="4" t="s">
        <v>9</v>
      </c>
      <c r="C8" s="4" t="str">
        <f t="shared" si="0"/>
        <v>Mì hảo hảo</v>
      </c>
      <c r="D8" s="4" t="str">
        <f t="shared" si="1"/>
        <v>Thùng</v>
      </c>
      <c r="E8" s="4">
        <v>90</v>
      </c>
      <c r="F8" s="4">
        <f t="shared" si="2"/>
        <v>200</v>
      </c>
      <c r="G8" s="4">
        <f t="shared" si="3"/>
        <v>18000</v>
      </c>
      <c r="I8" s="2"/>
      <c r="J8" s="2"/>
      <c r="K8" s="2"/>
      <c r="L8" s="2"/>
      <c r="M8" s="2"/>
      <c r="N8" s="2"/>
      <c r="O8" s="2"/>
      <c r="P8" s="2"/>
      <c r="Q8" s="2"/>
      <c r="R8" s="2"/>
      <c r="S8" s="2"/>
      <c r="T8" s="2"/>
      <c r="U8" s="2"/>
    </row>
    <row r="9" spans="1:32" ht="22" thickTop="1" thickBot="1" x14ac:dyDescent="0.55000000000000004">
      <c r="A9" s="4">
        <v>7</v>
      </c>
      <c r="B9" s="4" t="s">
        <v>11</v>
      </c>
      <c r="C9" s="4" t="str">
        <f t="shared" si="0"/>
        <v>Mì colusa</v>
      </c>
      <c r="D9" s="4" t="str">
        <f t="shared" si="1"/>
        <v>Thùng</v>
      </c>
      <c r="E9" s="4">
        <v>6</v>
      </c>
      <c r="F9" s="4">
        <f t="shared" si="2"/>
        <v>125</v>
      </c>
      <c r="G9" s="4">
        <f t="shared" si="3"/>
        <v>750</v>
      </c>
      <c r="I9" s="2"/>
      <c r="J9" s="2"/>
      <c r="K9" s="2"/>
      <c r="L9" s="2"/>
      <c r="M9" s="2"/>
      <c r="N9" s="2"/>
      <c r="O9" s="2"/>
      <c r="P9" s="2"/>
      <c r="Q9" s="2"/>
      <c r="R9" s="2"/>
      <c r="S9" s="2"/>
      <c r="T9" s="2"/>
      <c r="U9" s="2"/>
    </row>
    <row r="10" spans="1:32" ht="21.5" thickTop="1" x14ac:dyDescent="0.5">
      <c r="A10" s="2"/>
      <c r="B10" s="2"/>
      <c r="C10" s="2"/>
      <c r="D10" s="2"/>
      <c r="E10" s="2"/>
      <c r="F10" s="2"/>
      <c r="G10" s="2"/>
      <c r="I10" s="2"/>
      <c r="J10" s="2"/>
      <c r="K10" s="2"/>
      <c r="L10" s="2"/>
      <c r="M10" s="2"/>
      <c r="N10" s="2"/>
      <c r="O10" s="2"/>
      <c r="P10" s="2"/>
      <c r="Q10" s="2"/>
      <c r="R10" s="2"/>
      <c r="S10" s="2"/>
      <c r="T10" s="2"/>
      <c r="U10" s="2"/>
    </row>
    <row r="11" spans="1:32" ht="21" x14ac:dyDescent="0.5">
      <c r="A11" s="2"/>
      <c r="B11" s="2"/>
      <c r="C11" s="2"/>
      <c r="D11" s="2"/>
      <c r="E11" s="2"/>
      <c r="F11" s="2"/>
      <c r="G11" s="2"/>
      <c r="I11" s="2"/>
      <c r="J11" s="2"/>
      <c r="K11" s="2"/>
      <c r="L11" s="2"/>
      <c r="M11" s="2"/>
      <c r="N11" s="2"/>
      <c r="O11" s="2"/>
      <c r="P11" s="2"/>
      <c r="Q11" s="2"/>
      <c r="R11" s="2"/>
      <c r="S11" s="2"/>
      <c r="T11" s="2"/>
      <c r="U11" s="2"/>
    </row>
    <row r="12" spans="1:32" ht="21.5" thickBot="1" x14ac:dyDescent="0.55000000000000004">
      <c r="A12" s="13" t="s">
        <v>12</v>
      </c>
      <c r="B12" s="13"/>
      <c r="C12" s="13"/>
      <c r="D12" s="13"/>
      <c r="E12" s="13" t="s">
        <v>20</v>
      </c>
      <c r="F12" s="13"/>
      <c r="G12" s="13"/>
      <c r="H12" s="13"/>
      <c r="I12" s="2"/>
      <c r="J12" s="2"/>
      <c r="K12" s="2"/>
      <c r="L12" s="2"/>
      <c r="M12" s="2"/>
      <c r="N12" s="2"/>
      <c r="O12" s="2"/>
      <c r="P12" s="2"/>
      <c r="Q12" s="2"/>
      <c r="R12" s="2"/>
      <c r="S12" s="2"/>
      <c r="T12" s="2"/>
      <c r="U12" s="2"/>
    </row>
    <row r="13" spans="1:32" ht="22" thickTop="1" thickBot="1" x14ac:dyDescent="0.55000000000000004">
      <c r="A13" s="4" t="s">
        <v>2</v>
      </c>
      <c r="B13" s="4" t="s">
        <v>3</v>
      </c>
      <c r="C13" s="4" t="s">
        <v>4</v>
      </c>
      <c r="D13" s="4" t="s">
        <v>13</v>
      </c>
      <c r="F13" s="4" t="s">
        <v>21</v>
      </c>
      <c r="G13" s="4" t="s">
        <v>22</v>
      </c>
      <c r="I13" s="2"/>
      <c r="J13" s="2"/>
      <c r="K13" s="2"/>
      <c r="L13" s="2"/>
      <c r="M13" s="2"/>
      <c r="N13" s="2"/>
      <c r="O13" s="2"/>
      <c r="P13" s="2"/>
      <c r="Q13" s="2"/>
      <c r="R13" s="2"/>
      <c r="S13" s="2"/>
      <c r="T13" s="2"/>
      <c r="U13" s="2"/>
    </row>
    <row r="14" spans="1:32" ht="22" thickTop="1" thickBot="1" x14ac:dyDescent="0.55000000000000004">
      <c r="A14" s="4" t="s">
        <v>8</v>
      </c>
      <c r="B14" s="4" t="s">
        <v>16</v>
      </c>
      <c r="C14" s="4" t="s">
        <v>15</v>
      </c>
      <c r="D14" s="4">
        <v>140</v>
      </c>
      <c r="F14" s="4">
        <f t="array" ref="F14">SUM(IF(LEFT(B3:B9,1)="G",G3:G9,0))</f>
        <v>2840</v>
      </c>
      <c r="G14" s="4">
        <f t="array" ref="G14">SUM(IF(LEFT(B3:B9,1)="M",G3:G9,0))</f>
        <v>31500</v>
      </c>
      <c r="I14" s="2"/>
      <c r="J14" s="2"/>
      <c r="K14" s="2"/>
      <c r="L14" s="2"/>
      <c r="M14" s="2"/>
      <c r="N14" s="2"/>
      <c r="O14" s="2"/>
      <c r="P14" s="2"/>
      <c r="Q14" s="2"/>
      <c r="R14" s="2"/>
      <c r="S14" s="2"/>
      <c r="T14" s="2"/>
      <c r="U14" s="2"/>
    </row>
    <row r="15" spans="1:32" ht="22" thickTop="1" thickBot="1" x14ac:dyDescent="0.55000000000000004">
      <c r="A15" s="4" t="s">
        <v>10</v>
      </c>
      <c r="B15" s="4" t="s">
        <v>17</v>
      </c>
      <c r="C15" s="4" t="s">
        <v>15</v>
      </c>
      <c r="D15" s="4">
        <v>120</v>
      </c>
      <c r="E15" s="2"/>
      <c r="F15" s="2">
        <f>SUMIF($C$3:$C$9,"Gạo*",$G$3:$G$9)</f>
        <v>2840</v>
      </c>
      <c r="G15" s="2">
        <f>SUMIF($C$3:$C$9,"Mì*",$G$3:$G$9)</f>
        <v>31500</v>
      </c>
      <c r="I15" s="2"/>
      <c r="J15" s="2"/>
      <c r="K15" s="2"/>
      <c r="L15" s="2"/>
      <c r="M15" s="2"/>
      <c r="N15" s="2"/>
      <c r="O15" s="2"/>
      <c r="P15" s="2"/>
      <c r="Q15" s="2"/>
      <c r="R15" s="2"/>
      <c r="S15" s="2"/>
      <c r="T15" s="2"/>
      <c r="U15" s="2"/>
    </row>
    <row r="16" spans="1:32" ht="22" thickTop="1" thickBot="1" x14ac:dyDescent="0.55000000000000004">
      <c r="A16" s="4" t="s">
        <v>9</v>
      </c>
      <c r="B16" s="4" t="s">
        <v>18</v>
      </c>
      <c r="C16" s="4" t="s">
        <v>14</v>
      </c>
      <c r="D16" s="4">
        <v>200</v>
      </c>
      <c r="E16" s="2"/>
      <c r="F16" s="2"/>
      <c r="G16" s="2"/>
      <c r="I16" s="2"/>
      <c r="J16" s="2"/>
      <c r="K16" s="2"/>
      <c r="L16" s="2"/>
      <c r="M16" s="2"/>
      <c r="N16" s="2"/>
      <c r="O16" s="2"/>
      <c r="P16" s="2"/>
      <c r="Q16" s="2"/>
      <c r="R16" s="2"/>
      <c r="S16" s="2"/>
      <c r="T16" s="2"/>
      <c r="U16" s="2"/>
    </row>
    <row r="17" spans="1:21" ht="22" thickTop="1" thickBot="1" x14ac:dyDescent="0.55000000000000004">
      <c r="A17" s="4" t="s">
        <v>11</v>
      </c>
      <c r="B17" s="4" t="s">
        <v>19</v>
      </c>
      <c r="C17" s="4" t="s">
        <v>14</v>
      </c>
      <c r="D17" s="4">
        <v>125</v>
      </c>
      <c r="E17" s="2"/>
      <c r="F17" s="2"/>
      <c r="G17" s="2"/>
      <c r="I17" s="2"/>
      <c r="J17" s="2"/>
      <c r="K17" s="2"/>
      <c r="L17" s="2"/>
      <c r="M17" s="2"/>
      <c r="N17" s="2"/>
      <c r="O17" s="2"/>
      <c r="P17" s="2"/>
      <c r="Q17" s="2"/>
      <c r="R17" s="2"/>
      <c r="S17" s="2"/>
      <c r="T17" s="2"/>
      <c r="U17" s="2"/>
    </row>
    <row r="18" spans="1:21" ht="21.5" thickTop="1" x14ac:dyDescent="0.5">
      <c r="A18" s="2"/>
      <c r="B18" s="2"/>
      <c r="C18" s="2"/>
      <c r="D18" s="2"/>
      <c r="E18" s="2"/>
      <c r="F18" s="2"/>
      <c r="G18" s="2"/>
    </row>
    <row r="19" spans="1:21" ht="21" x14ac:dyDescent="0.5">
      <c r="A19" s="2"/>
      <c r="B19" s="2"/>
      <c r="C19" s="2"/>
      <c r="D19" s="2"/>
      <c r="E19" s="2"/>
      <c r="F19" s="2"/>
      <c r="G19" s="2"/>
    </row>
    <row r="20" spans="1:21" ht="21" x14ac:dyDescent="0.5">
      <c r="A20" s="2"/>
      <c r="B20" s="2"/>
      <c r="C20" s="2"/>
      <c r="D20" s="2"/>
      <c r="E20" s="2"/>
      <c r="F20" s="2"/>
      <c r="G20" s="2"/>
    </row>
    <row r="21" spans="1:21" ht="21" x14ac:dyDescent="0.5">
      <c r="A21" s="2"/>
      <c r="B21" s="2"/>
      <c r="C21" s="2"/>
      <c r="D21" s="2"/>
      <c r="E21" s="2"/>
      <c r="F21" s="2"/>
      <c r="G21" s="2"/>
    </row>
    <row r="22" spans="1:21" ht="21" x14ac:dyDescent="0.5">
      <c r="A22" s="2"/>
      <c r="B22" s="2"/>
      <c r="C22" s="2"/>
      <c r="D22" s="2"/>
      <c r="E22" s="2"/>
      <c r="F22" s="2"/>
      <c r="G22" s="2"/>
    </row>
    <row r="23" spans="1:21" ht="21" x14ac:dyDescent="0.5">
      <c r="A23" s="2"/>
      <c r="B23" s="2"/>
      <c r="C23" s="2"/>
      <c r="D23" s="2"/>
      <c r="E23" s="2"/>
      <c r="F23" s="2"/>
      <c r="G23" s="2"/>
    </row>
  </sheetData>
  <mergeCells count="7">
    <mergeCell ref="I3:AF3"/>
    <mergeCell ref="I4:AF4"/>
    <mergeCell ref="A1:G1"/>
    <mergeCell ref="A12:D12"/>
    <mergeCell ref="E12:H12"/>
    <mergeCell ref="I1:M1"/>
    <mergeCell ref="I2:X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6AAF0-6A56-4E40-BB15-A8812896D73F}">
  <dimension ref="A1:AQ16"/>
  <sheetViews>
    <sheetView zoomScaleNormal="100" workbookViewId="0">
      <selection activeCell="G16" sqref="G16"/>
    </sheetView>
  </sheetViews>
  <sheetFormatPr defaultRowHeight="14.5" x14ac:dyDescent="0.35"/>
  <cols>
    <col min="2" max="2" width="15.81640625" customWidth="1"/>
    <col min="3" max="3" width="14.6328125" customWidth="1"/>
    <col min="4" max="4" width="12.1796875" customWidth="1"/>
    <col min="5" max="5" width="20.453125" customWidth="1"/>
    <col min="6" max="6" width="23.453125" customWidth="1"/>
    <col min="7" max="7" width="22.08984375" customWidth="1"/>
    <col min="8" max="8" width="13.81640625" customWidth="1"/>
  </cols>
  <sheetData>
    <row r="1" spans="1:43" ht="19" thickBot="1" x14ac:dyDescent="0.5">
      <c r="A1" s="14" t="s">
        <v>27</v>
      </c>
      <c r="B1" s="14"/>
      <c r="C1" s="14"/>
      <c r="D1" s="14"/>
      <c r="E1" s="14"/>
      <c r="F1" s="14"/>
      <c r="G1" s="14"/>
      <c r="H1" s="14"/>
    </row>
    <row r="2" spans="1:43" ht="19.5" thickTop="1" thickBot="1" x14ac:dyDescent="0.5">
      <c r="A2" s="6" t="s">
        <v>1</v>
      </c>
      <c r="B2" s="6" t="s">
        <v>29</v>
      </c>
      <c r="C2" s="6" t="s">
        <v>45</v>
      </c>
      <c r="D2" s="6" t="s">
        <v>40</v>
      </c>
      <c r="E2" s="6" t="s">
        <v>41</v>
      </c>
      <c r="F2" s="6" t="s">
        <v>42</v>
      </c>
      <c r="G2" s="6" t="s">
        <v>43</v>
      </c>
      <c r="H2" s="6" t="s">
        <v>44</v>
      </c>
      <c r="J2" s="21" t="s">
        <v>59</v>
      </c>
      <c r="K2" s="21"/>
      <c r="L2" s="21"/>
      <c r="M2" s="21"/>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row>
    <row r="3" spans="1:43" ht="19.5" thickTop="1" thickBot="1" x14ac:dyDescent="0.5">
      <c r="A3" s="5">
        <v>1</v>
      </c>
      <c r="B3" s="5" t="s">
        <v>30</v>
      </c>
      <c r="C3" s="5" t="s">
        <v>39</v>
      </c>
      <c r="D3" s="5" t="str">
        <f>HLOOKUP(LEFT(B3,1)&amp;"*",$F$11:$H$12,2,0)</f>
        <v>Kế hoạch</v>
      </c>
      <c r="E3" s="5" t="s">
        <v>48</v>
      </c>
      <c r="F3" s="5">
        <f>VLOOKUP(E3,$B$12:$C$15,2,0)</f>
        <v>50000</v>
      </c>
      <c r="G3" s="10">
        <v>7000000</v>
      </c>
      <c r="H3" s="5">
        <f>F3+G3</f>
        <v>7050000</v>
      </c>
      <c r="J3" s="21" t="s">
        <v>60</v>
      </c>
      <c r="K3" s="21"/>
      <c r="L3" s="21"/>
      <c r="M3" s="21"/>
      <c r="N3" s="21"/>
      <c r="O3" s="21"/>
      <c r="P3" s="21"/>
      <c r="Q3" s="21"/>
      <c r="R3" s="21"/>
      <c r="S3" s="21"/>
      <c r="T3" s="21"/>
      <c r="U3" s="9"/>
      <c r="V3" s="9"/>
      <c r="W3" s="9"/>
      <c r="X3" s="9"/>
      <c r="Y3" s="9"/>
      <c r="Z3" s="9"/>
      <c r="AA3" s="9"/>
      <c r="AB3" s="9"/>
      <c r="AC3" s="9"/>
      <c r="AD3" s="9"/>
      <c r="AE3" s="9"/>
      <c r="AF3" s="9"/>
      <c r="AG3" s="9"/>
      <c r="AH3" s="9"/>
      <c r="AI3" s="9"/>
      <c r="AJ3" s="9"/>
      <c r="AK3" s="9"/>
      <c r="AL3" s="9"/>
      <c r="AM3" s="9"/>
      <c r="AN3" s="9"/>
      <c r="AO3" s="9"/>
      <c r="AP3" s="9"/>
      <c r="AQ3" s="9"/>
    </row>
    <row r="4" spans="1:43" ht="19.5" thickTop="1" thickBot="1" x14ac:dyDescent="0.5">
      <c r="A4" s="5">
        <v>2</v>
      </c>
      <c r="B4" s="5" t="s">
        <v>32</v>
      </c>
      <c r="C4" s="5" t="s">
        <v>38</v>
      </c>
      <c r="D4" s="5" t="str">
        <f>HLOOKUP(LEFT(B4,1)&amp;"*",$F$11:$H$12,2,0)</f>
        <v>Hành chính</v>
      </c>
      <c r="E4" s="5" t="s">
        <v>49</v>
      </c>
      <c r="F4" s="5">
        <f t="shared" ref="F4:F8" si="0">VLOOKUP(E4,$B$12:$C$15,2,0)</f>
        <v>40000</v>
      </c>
      <c r="G4" s="10">
        <v>5000000</v>
      </c>
      <c r="H4" s="5">
        <f t="shared" ref="H4:H7" si="1">F4+G4</f>
        <v>5040000</v>
      </c>
      <c r="J4" s="21" t="s">
        <v>61</v>
      </c>
      <c r="K4" s="21"/>
      <c r="L4" s="21"/>
      <c r="M4" s="21"/>
      <c r="N4" s="21"/>
      <c r="O4" s="21"/>
      <c r="P4" s="21"/>
      <c r="Q4" s="21"/>
      <c r="R4" s="21"/>
      <c r="S4" s="21"/>
      <c r="T4" s="9"/>
      <c r="U4" s="9"/>
      <c r="V4" s="9"/>
      <c r="W4" s="9"/>
      <c r="X4" s="9"/>
      <c r="Y4" s="9"/>
      <c r="Z4" s="9"/>
      <c r="AA4" s="9"/>
      <c r="AB4" s="9"/>
      <c r="AC4" s="9"/>
      <c r="AD4" s="9"/>
      <c r="AE4" s="9"/>
      <c r="AF4" s="9"/>
      <c r="AG4" s="9"/>
      <c r="AH4" s="9"/>
      <c r="AI4" s="9"/>
      <c r="AJ4" s="9"/>
      <c r="AK4" s="9"/>
      <c r="AL4" s="9"/>
      <c r="AM4" s="9"/>
      <c r="AN4" s="9"/>
      <c r="AO4" s="9"/>
      <c r="AP4" s="9"/>
      <c r="AQ4" s="9"/>
    </row>
    <row r="5" spans="1:43" ht="18" customHeight="1" thickTop="1" thickBot="1" x14ac:dyDescent="0.5">
      <c r="A5" s="5">
        <v>3</v>
      </c>
      <c r="B5" s="5" t="s">
        <v>31</v>
      </c>
      <c r="C5" s="5" t="s">
        <v>37</v>
      </c>
      <c r="D5" s="5" t="str">
        <f t="shared" ref="D4:D7" si="2">HLOOKUP(LEFT(B5,1)&amp;"*",$F$11:$H$12,2,0)</f>
        <v>Kế hoạch</v>
      </c>
      <c r="E5" s="5" t="s">
        <v>50</v>
      </c>
      <c r="F5" s="5">
        <f t="shared" si="0"/>
        <v>30000</v>
      </c>
      <c r="G5" s="10">
        <v>3500000</v>
      </c>
      <c r="H5" s="5">
        <f t="shared" si="1"/>
        <v>3530000</v>
      </c>
      <c r="J5" s="20" t="s">
        <v>62</v>
      </c>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row>
    <row r="6" spans="1:43" ht="19.5" thickTop="1" thickBot="1" x14ac:dyDescent="0.5">
      <c r="A6" s="5">
        <v>4</v>
      </c>
      <c r="B6" s="5" t="s">
        <v>33</v>
      </c>
      <c r="C6" s="5" t="s">
        <v>36</v>
      </c>
      <c r="D6" s="5" t="str">
        <f t="shared" si="2"/>
        <v>Tài vụ</v>
      </c>
      <c r="E6" s="5" t="s">
        <v>51</v>
      </c>
      <c r="F6" s="5">
        <f t="shared" si="0"/>
        <v>20000</v>
      </c>
      <c r="G6" s="10">
        <v>3000000</v>
      </c>
      <c r="H6" s="5">
        <f t="shared" si="1"/>
        <v>3020000</v>
      </c>
    </row>
    <row r="7" spans="1:43" ht="19.5" thickTop="1" thickBot="1" x14ac:dyDescent="0.5">
      <c r="A7" s="5">
        <v>5</v>
      </c>
      <c r="B7" s="5" t="s">
        <v>34</v>
      </c>
      <c r="C7" s="5" t="s">
        <v>35</v>
      </c>
      <c r="D7" s="5" t="str">
        <f t="shared" si="2"/>
        <v>Hành chính</v>
      </c>
      <c r="E7" s="5" t="s">
        <v>50</v>
      </c>
      <c r="F7" s="5">
        <f t="shared" si="0"/>
        <v>30000</v>
      </c>
      <c r="G7" s="10">
        <v>3500000</v>
      </c>
      <c r="H7" s="5">
        <f t="shared" si="1"/>
        <v>3530000</v>
      </c>
    </row>
    <row r="8" spans="1:43" ht="19.5" thickTop="1" thickBot="1" x14ac:dyDescent="0.5">
      <c r="A8" s="15" t="s">
        <v>28</v>
      </c>
      <c r="B8" s="16"/>
      <c r="C8" s="16"/>
      <c r="D8" s="16"/>
      <c r="E8" s="17"/>
      <c r="F8" s="5"/>
      <c r="G8" s="5"/>
      <c r="H8" s="5"/>
    </row>
    <row r="9" spans="1:43" ht="15.5" thickTop="1" thickBot="1" x14ac:dyDescent="0.4"/>
    <row r="10" spans="1:43" ht="19.5" thickTop="1" thickBot="1" x14ac:dyDescent="0.5">
      <c r="B10" s="18" t="s">
        <v>46</v>
      </c>
      <c r="C10" s="18"/>
      <c r="E10" s="14" t="s">
        <v>53</v>
      </c>
      <c r="F10" s="19"/>
      <c r="G10" s="19"/>
      <c r="H10" s="19"/>
    </row>
    <row r="11" spans="1:43" ht="19.5" thickTop="1" thickBot="1" x14ac:dyDescent="0.5">
      <c r="B11" s="7" t="s">
        <v>47</v>
      </c>
      <c r="C11" s="7" t="s">
        <v>52</v>
      </c>
      <c r="E11" s="6" t="s">
        <v>54</v>
      </c>
      <c r="F11" s="5" t="s">
        <v>63</v>
      </c>
      <c r="G11" s="5" t="s">
        <v>64</v>
      </c>
      <c r="H11" s="5" t="s">
        <v>65</v>
      </c>
    </row>
    <row r="12" spans="1:43" ht="19.5" thickTop="1" thickBot="1" x14ac:dyDescent="0.5">
      <c r="B12" s="8" t="s">
        <v>48</v>
      </c>
      <c r="C12" s="8">
        <v>50000</v>
      </c>
      <c r="E12" s="6" t="s">
        <v>55</v>
      </c>
      <c r="F12" s="5" t="s">
        <v>56</v>
      </c>
      <c r="G12" s="5" t="s">
        <v>57</v>
      </c>
      <c r="H12" s="5" t="s">
        <v>58</v>
      </c>
    </row>
    <row r="13" spans="1:43" ht="19.5" thickTop="1" thickBot="1" x14ac:dyDescent="0.5">
      <c r="B13" s="8" t="s">
        <v>49</v>
      </c>
      <c r="C13" s="8">
        <v>40000</v>
      </c>
    </row>
    <row r="14" spans="1:43" ht="19.5" thickTop="1" thickBot="1" x14ac:dyDescent="0.5">
      <c r="B14" s="8" t="s">
        <v>50</v>
      </c>
      <c r="C14" s="8">
        <v>30000</v>
      </c>
      <c r="E14" s="7" t="s">
        <v>66</v>
      </c>
      <c r="F14" s="7" t="s">
        <v>67</v>
      </c>
      <c r="G14" s="7" t="s">
        <v>68</v>
      </c>
    </row>
    <row r="15" spans="1:43" ht="19.5" thickTop="1" thickBot="1" x14ac:dyDescent="0.5">
      <c r="B15" s="8" t="s">
        <v>51</v>
      </c>
      <c r="C15" s="8">
        <v>20000</v>
      </c>
      <c r="E15" s="7">
        <f>SUM(F3:F7)</f>
        <v>170000</v>
      </c>
      <c r="F15" s="7">
        <f>SUM(G3:G7)</f>
        <v>22000000</v>
      </c>
      <c r="G15" s="7">
        <f>SUM(H3:H7)</f>
        <v>22170000</v>
      </c>
    </row>
    <row r="16" spans="1:43" ht="15" thickTop="1" x14ac:dyDescent="0.35"/>
  </sheetData>
  <mergeCells count="8">
    <mergeCell ref="A1:H1"/>
    <mergeCell ref="A8:E8"/>
    <mergeCell ref="B10:C10"/>
    <mergeCell ref="E10:H10"/>
    <mergeCell ref="J5:AQ5"/>
    <mergeCell ref="J4:S4"/>
    <mergeCell ref="J3:T3"/>
    <mergeCell ref="J2:M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D1E62-C7C5-4E1A-9C79-AAA8B77DA38B}">
  <dimension ref="A1:V17"/>
  <sheetViews>
    <sheetView zoomScale="85" zoomScaleNormal="85" workbookViewId="0">
      <selection activeCell="D17" sqref="D17"/>
    </sheetView>
  </sheetViews>
  <sheetFormatPr defaultRowHeight="14.5" x14ac:dyDescent="0.35"/>
  <cols>
    <col min="1" max="1" width="11.54296875" customWidth="1"/>
    <col min="2" max="2" width="11.26953125" customWidth="1"/>
    <col min="3" max="3" width="12.1796875" customWidth="1"/>
    <col min="4" max="4" width="12.7265625" customWidth="1"/>
    <col min="5" max="5" width="9.90625" customWidth="1"/>
    <col min="6" max="6" width="11.81640625" customWidth="1"/>
  </cols>
  <sheetData>
    <row r="1" spans="1:22" ht="19" thickBot="1" x14ac:dyDescent="0.5">
      <c r="A1" s="14" t="s">
        <v>69</v>
      </c>
      <c r="B1" s="22"/>
      <c r="C1" s="22"/>
      <c r="D1" s="22"/>
      <c r="E1" s="22"/>
      <c r="F1" s="22"/>
    </row>
    <row r="2" spans="1:22" ht="19.5" thickTop="1" thickBot="1" x14ac:dyDescent="0.5">
      <c r="A2" s="6" t="s">
        <v>1</v>
      </c>
      <c r="B2" s="6" t="s">
        <v>70</v>
      </c>
      <c r="C2" s="6" t="s">
        <v>71</v>
      </c>
      <c r="D2" s="6" t="s">
        <v>5</v>
      </c>
      <c r="E2" s="6" t="s">
        <v>72</v>
      </c>
      <c r="F2" s="6" t="s">
        <v>6</v>
      </c>
      <c r="H2" s="21" t="s">
        <v>87</v>
      </c>
      <c r="I2" s="21"/>
      <c r="J2" s="21"/>
      <c r="K2" s="21"/>
      <c r="L2" s="9"/>
      <c r="M2" s="9"/>
      <c r="N2" s="9"/>
      <c r="O2" s="9"/>
      <c r="P2" s="9"/>
      <c r="Q2" s="9"/>
      <c r="R2" s="9"/>
      <c r="S2" s="9"/>
      <c r="T2" s="9"/>
      <c r="U2" s="9"/>
      <c r="V2" s="9"/>
    </row>
    <row r="3" spans="1:22" ht="19.5" thickTop="1" thickBot="1" x14ac:dyDescent="0.5">
      <c r="A3" s="5">
        <v>1</v>
      </c>
      <c r="B3" s="5" t="s">
        <v>73</v>
      </c>
      <c r="C3" s="5" t="str">
        <f>HLOOKUP(LEFT(B3,2),$B$11:$D$12,2,0)</f>
        <v>Toán học</v>
      </c>
      <c r="D3" s="5">
        <v>10</v>
      </c>
      <c r="E3" s="5">
        <f>HLOOKUP(LEFT(B3,2),$B$11:$D$13,3,0)</f>
        <v>50000</v>
      </c>
      <c r="F3" s="5">
        <f>E3*D3</f>
        <v>500000</v>
      </c>
      <c r="H3" s="21" t="s">
        <v>88</v>
      </c>
      <c r="I3" s="21"/>
      <c r="J3" s="21"/>
      <c r="K3" s="21"/>
      <c r="L3" s="21"/>
      <c r="M3" s="21"/>
      <c r="N3" s="21"/>
      <c r="O3" s="21"/>
      <c r="P3" s="21"/>
      <c r="Q3" s="21"/>
      <c r="R3" s="9"/>
      <c r="S3" s="9"/>
      <c r="T3" s="9"/>
      <c r="U3" s="9"/>
      <c r="V3" s="9"/>
    </row>
    <row r="4" spans="1:22" ht="19.5" thickTop="1" thickBot="1" x14ac:dyDescent="0.5">
      <c r="A4" s="5">
        <v>2</v>
      </c>
      <c r="B4" s="5" t="s">
        <v>75</v>
      </c>
      <c r="C4" s="5" t="str">
        <f t="shared" ref="C4:C8" si="0">HLOOKUP(LEFT(B4,2),$B$11:$D$12,2,0)</f>
        <v>Vật lý</v>
      </c>
      <c r="D4" s="5">
        <v>20</v>
      </c>
      <c r="E4" s="5">
        <f t="shared" ref="E4:E8" si="1">HLOOKUP(LEFT(B4,2),$B$11:$D$13,3,0)</f>
        <v>90000</v>
      </c>
      <c r="F4" s="5">
        <f t="shared" ref="F4:F8" si="2">E4*D4</f>
        <v>1800000</v>
      </c>
      <c r="H4" s="21" t="s">
        <v>89</v>
      </c>
      <c r="I4" s="21"/>
      <c r="J4" s="21"/>
      <c r="K4" s="21"/>
      <c r="L4" s="21"/>
      <c r="M4" s="21"/>
      <c r="N4" s="21"/>
      <c r="O4" s="21"/>
      <c r="P4" s="21"/>
      <c r="Q4" s="21"/>
      <c r="R4" s="21"/>
      <c r="S4" s="21"/>
      <c r="T4" s="21"/>
      <c r="U4" s="21"/>
      <c r="V4" s="21"/>
    </row>
    <row r="5" spans="1:22" ht="19.5" thickTop="1" thickBot="1" x14ac:dyDescent="0.5">
      <c r="A5" s="5">
        <v>3</v>
      </c>
      <c r="B5" s="5" t="s">
        <v>76</v>
      </c>
      <c r="C5" s="5" t="str">
        <f t="shared" si="0"/>
        <v>Hóa học</v>
      </c>
      <c r="D5" s="5">
        <v>100</v>
      </c>
      <c r="E5" s="5">
        <f t="shared" si="1"/>
        <v>70000</v>
      </c>
      <c r="F5" s="5">
        <f t="shared" si="2"/>
        <v>7000000</v>
      </c>
      <c r="H5" s="21" t="s">
        <v>90</v>
      </c>
      <c r="I5" s="21"/>
      <c r="J5" s="21"/>
      <c r="K5" s="21"/>
      <c r="L5" s="21"/>
      <c r="M5" s="21"/>
      <c r="N5" s="21"/>
      <c r="O5" s="21"/>
      <c r="P5" s="21"/>
      <c r="Q5" s="21"/>
      <c r="R5" s="9"/>
      <c r="S5" s="9"/>
      <c r="T5" s="9"/>
      <c r="U5" s="9"/>
      <c r="V5" s="9"/>
    </row>
    <row r="6" spans="1:22" ht="19.5" thickTop="1" thickBot="1" x14ac:dyDescent="0.5">
      <c r="A6" s="5">
        <v>4</v>
      </c>
      <c r="B6" s="5" t="s">
        <v>77</v>
      </c>
      <c r="C6" s="5" t="str">
        <f t="shared" si="0"/>
        <v>Hóa học</v>
      </c>
      <c r="D6" s="5">
        <v>40</v>
      </c>
      <c r="E6" s="5">
        <f t="shared" si="1"/>
        <v>70000</v>
      </c>
      <c r="F6" s="5">
        <f t="shared" si="2"/>
        <v>2800000</v>
      </c>
    </row>
    <row r="7" spans="1:22" ht="19.5" thickTop="1" thickBot="1" x14ac:dyDescent="0.5">
      <c r="A7" s="5">
        <v>5</v>
      </c>
      <c r="B7" s="5" t="s">
        <v>78</v>
      </c>
      <c r="C7" s="5" t="str">
        <f t="shared" si="0"/>
        <v>Vật lý</v>
      </c>
      <c r="D7" s="5">
        <v>20</v>
      </c>
      <c r="E7" s="5">
        <f t="shared" si="1"/>
        <v>90000</v>
      </c>
      <c r="F7" s="5">
        <f t="shared" si="2"/>
        <v>1800000</v>
      </c>
    </row>
    <row r="8" spans="1:22" ht="19.5" thickTop="1" thickBot="1" x14ac:dyDescent="0.5">
      <c r="A8" s="5">
        <v>6</v>
      </c>
      <c r="B8" s="5" t="s">
        <v>74</v>
      </c>
      <c r="C8" s="5" t="str">
        <f t="shared" si="0"/>
        <v>Toán học</v>
      </c>
      <c r="D8" s="5">
        <v>30</v>
      </c>
      <c r="E8" s="5">
        <f t="shared" si="1"/>
        <v>50000</v>
      </c>
      <c r="F8" s="5">
        <f t="shared" si="2"/>
        <v>1500000</v>
      </c>
    </row>
    <row r="9" spans="1:22" ht="15" thickTop="1" x14ac:dyDescent="0.35"/>
    <row r="10" spans="1:22" ht="19" thickBot="1" x14ac:dyDescent="0.5">
      <c r="A10" s="14" t="s">
        <v>79</v>
      </c>
      <c r="B10" s="14"/>
      <c r="C10" s="14"/>
      <c r="D10" s="14"/>
    </row>
    <row r="11" spans="1:22" ht="19.5" thickTop="1" thickBot="1" x14ac:dyDescent="0.5">
      <c r="A11" s="7" t="s">
        <v>70</v>
      </c>
      <c r="B11" s="7" t="s">
        <v>80</v>
      </c>
      <c r="C11" s="24" t="s">
        <v>81</v>
      </c>
      <c r="D11" s="25" t="s">
        <v>82</v>
      </c>
      <c r="E11" s="23"/>
    </row>
    <row r="12" spans="1:22" ht="19.5" thickTop="1" thickBot="1" x14ac:dyDescent="0.5">
      <c r="A12" s="7" t="s">
        <v>71</v>
      </c>
      <c r="B12" s="5" t="s">
        <v>85</v>
      </c>
      <c r="C12" s="26" t="s">
        <v>84</v>
      </c>
      <c r="D12" s="27" t="s">
        <v>83</v>
      </c>
      <c r="E12" s="23"/>
    </row>
    <row r="13" spans="1:22" ht="19.5" thickTop="1" thickBot="1" x14ac:dyDescent="0.5">
      <c r="A13" s="7" t="s">
        <v>72</v>
      </c>
      <c r="B13" s="5">
        <v>50000</v>
      </c>
      <c r="C13" s="26">
        <v>70000</v>
      </c>
      <c r="D13" s="27">
        <v>90000</v>
      </c>
      <c r="E13" s="23"/>
    </row>
    <row r="14" spans="1:22" ht="19.5" thickTop="1" thickBot="1" x14ac:dyDescent="0.5">
      <c r="A14" s="7" t="s">
        <v>86</v>
      </c>
      <c r="B14" s="5">
        <f>SUMIF($B$3:$B$8,"TO*",$F$3:$F$8)</f>
        <v>2000000</v>
      </c>
      <c r="C14" s="26">
        <f>SUMIF($B$3:$B$8,"HH*",$F$3:$F$8)</f>
        <v>9800000</v>
      </c>
      <c r="D14" s="28">
        <f>SUMIF($B$3:$B$8,"VL*",$F$3:$F$8)</f>
        <v>3600000</v>
      </c>
      <c r="E14" s="23"/>
    </row>
    <row r="15" spans="1:22" ht="15" thickTop="1" x14ac:dyDescent="0.35"/>
    <row r="16" spans="1:22" ht="18.5" x14ac:dyDescent="0.45">
      <c r="A16" s="29" t="s">
        <v>91</v>
      </c>
    </row>
    <row r="17" spans="1:4" ht="18.5" x14ac:dyDescent="0.45">
      <c r="A17" s="30" t="s">
        <v>86</v>
      </c>
      <c r="B17" s="31">
        <f t="array" ref="B17">SUM(IF(LEFT($B$3:$B$8,2)="TO",$F$3:$F$8,0))</f>
        <v>2000000</v>
      </c>
      <c r="C17" s="31">
        <f t="array" ref="C17">SUM(IF(LEFT($B$3:$B$8,2)="HH",$F$3:$F$8,0))</f>
        <v>9800000</v>
      </c>
      <c r="D17" s="31">
        <f t="array" ref="D17">SUM(IF(LEFT($B$3:$B$8,2)="VL",$F$3:$F$8,0))</f>
        <v>3600000</v>
      </c>
    </row>
  </sheetData>
  <mergeCells count="6">
    <mergeCell ref="A1:F1"/>
    <mergeCell ref="A10:D10"/>
    <mergeCell ref="H2:K2"/>
    <mergeCell ref="H3:Q3"/>
    <mergeCell ref="H4:V4"/>
    <mergeCell ref="H5:Q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B2D27-9CB4-45B8-9508-13DC6D146612}">
  <dimension ref="A1:Z15"/>
  <sheetViews>
    <sheetView tabSelected="1" zoomScale="85" zoomScaleNormal="85" workbookViewId="0">
      <selection activeCell="F12" sqref="F12"/>
    </sheetView>
  </sheetViews>
  <sheetFormatPr defaultRowHeight="14.5" x14ac:dyDescent="0.35"/>
  <cols>
    <col min="1" max="1" width="9.36328125" customWidth="1"/>
    <col min="2" max="2" width="23.6328125" customWidth="1"/>
    <col min="3" max="3" width="30.81640625" customWidth="1"/>
    <col min="4" max="4" width="27.1796875" customWidth="1"/>
    <col min="5" max="5" width="16.08984375" customWidth="1"/>
    <col min="6" max="6" width="15.7265625" customWidth="1"/>
    <col min="12" max="12" width="14.54296875" bestFit="1" customWidth="1"/>
  </cols>
  <sheetData>
    <row r="1" spans="1:26" ht="22" thickTop="1" thickBot="1" x14ac:dyDescent="0.55000000000000004">
      <c r="A1" s="3" t="s">
        <v>1</v>
      </c>
      <c r="B1" s="3" t="s">
        <v>92</v>
      </c>
      <c r="C1" s="3" t="s">
        <v>93</v>
      </c>
      <c r="D1" s="3" t="s">
        <v>94</v>
      </c>
      <c r="E1" s="3" t="s">
        <v>5</v>
      </c>
      <c r="F1" s="3" t="s">
        <v>95</v>
      </c>
      <c r="H1" s="21" t="s">
        <v>111</v>
      </c>
      <c r="I1" s="21"/>
      <c r="J1" s="21"/>
      <c r="K1" s="21"/>
      <c r="L1" s="21"/>
      <c r="M1" s="9"/>
      <c r="N1" s="9"/>
      <c r="O1" s="9"/>
      <c r="P1" s="9"/>
      <c r="Q1" s="9"/>
      <c r="R1" s="9"/>
      <c r="S1" s="9"/>
      <c r="T1" s="9"/>
      <c r="U1" s="9"/>
      <c r="V1" s="9"/>
      <c r="W1" s="9"/>
      <c r="X1" s="9"/>
      <c r="Y1" s="9"/>
      <c r="Z1" s="9"/>
    </row>
    <row r="2" spans="1:26" ht="19.5" customHeight="1" thickTop="1" thickBot="1" x14ac:dyDescent="0.55000000000000004">
      <c r="A2" s="4">
        <v>1</v>
      </c>
      <c r="B2" s="34" t="s">
        <v>96</v>
      </c>
      <c r="C2" s="4" t="str">
        <f>IF(LEFT(B2,3)="TMA","TMA Solutions Bình Định","FPT-Software Bình Định")</f>
        <v>TMA Solutions Bình Định</v>
      </c>
      <c r="D2" s="4" t="str">
        <f>VLOOKUP(RIGHT(B2,2),$B$11:$C$13,2,0)</f>
        <v>Kế toán</v>
      </c>
      <c r="E2" s="4" t="str">
        <f>MID(B2,4,2)</f>
        <v>02</v>
      </c>
      <c r="F2" s="4"/>
      <c r="H2" s="20" t="s">
        <v>114</v>
      </c>
      <c r="I2" s="20"/>
      <c r="J2" s="20"/>
      <c r="K2" s="20"/>
      <c r="L2" s="20"/>
      <c r="M2" s="20"/>
      <c r="N2" s="20"/>
      <c r="O2" s="20"/>
      <c r="P2" s="20"/>
      <c r="Q2" s="20"/>
      <c r="R2" s="20"/>
      <c r="S2" s="20"/>
      <c r="T2" s="20"/>
      <c r="U2" s="20"/>
      <c r="V2" s="20"/>
      <c r="W2" s="20"/>
      <c r="X2" s="20"/>
      <c r="Y2" s="20"/>
      <c r="Z2" s="20"/>
    </row>
    <row r="3" spans="1:26" ht="22" thickTop="1" thickBot="1" x14ac:dyDescent="0.55000000000000004">
      <c r="A3" s="4">
        <v>2</v>
      </c>
      <c r="B3" s="34" t="s">
        <v>97</v>
      </c>
      <c r="C3" s="4" t="str">
        <f t="shared" ref="C3:C6" si="0">IF(LEFT(B3,3)="TMA","TMA Solutions Bình Định","FPT-Software Bình Định")</f>
        <v>FPT-Software Bình Định</v>
      </c>
      <c r="D3" s="4" t="str">
        <f t="shared" ref="D3:D7" si="1">VLOOKUP(RIGHT(B3,2),$B$11:$C$13,2,0)</f>
        <v>Lập trình viên</v>
      </c>
      <c r="E3" s="4" t="str">
        <f t="shared" ref="E3:E7" si="2">MID(B3,4,2)</f>
        <v>05</v>
      </c>
      <c r="F3" s="4"/>
      <c r="H3" s="21" t="s">
        <v>112</v>
      </c>
      <c r="I3" s="21"/>
      <c r="J3" s="21"/>
      <c r="K3" s="21"/>
      <c r="L3" s="21"/>
      <c r="M3" s="21"/>
      <c r="N3" s="21"/>
      <c r="O3" s="21"/>
      <c r="P3" s="21"/>
      <c r="Q3" s="21"/>
      <c r="R3" s="21"/>
      <c r="S3" s="9"/>
      <c r="T3" s="9"/>
      <c r="U3" s="9"/>
      <c r="V3" s="9"/>
      <c r="W3" s="9"/>
      <c r="X3" s="9"/>
      <c r="Y3" s="9"/>
      <c r="Z3" s="9"/>
    </row>
    <row r="4" spans="1:26" ht="22" thickTop="1" thickBot="1" x14ac:dyDescent="0.55000000000000004">
      <c r="A4" s="4">
        <v>3</v>
      </c>
      <c r="B4" s="34" t="s">
        <v>98</v>
      </c>
      <c r="C4" s="4" t="str">
        <f t="shared" si="0"/>
        <v>TMA Solutions Bình Định</v>
      </c>
      <c r="D4" s="4" t="str">
        <f t="shared" si="1"/>
        <v>Phân tích kinh doanh</v>
      </c>
      <c r="E4" s="4" t="str">
        <f t="shared" si="2"/>
        <v>15</v>
      </c>
      <c r="F4" s="4"/>
      <c r="H4" s="21" t="s">
        <v>113</v>
      </c>
      <c r="I4" s="21"/>
      <c r="J4" s="21"/>
      <c r="K4" s="21"/>
      <c r="L4" s="21"/>
      <c r="M4" s="21"/>
      <c r="N4" s="21"/>
      <c r="O4" s="21"/>
      <c r="P4" s="21"/>
      <c r="Q4" s="21"/>
      <c r="R4" s="21"/>
      <c r="S4" s="9"/>
      <c r="T4" s="9"/>
      <c r="U4" s="9"/>
      <c r="V4" s="9"/>
      <c r="W4" s="9"/>
      <c r="X4" s="9"/>
      <c r="Y4" s="9"/>
      <c r="Z4" s="9"/>
    </row>
    <row r="5" spans="1:26" ht="22" thickTop="1" thickBot="1" x14ac:dyDescent="0.55000000000000004">
      <c r="A5" s="4">
        <v>4</v>
      </c>
      <c r="B5" s="34" t="s">
        <v>99</v>
      </c>
      <c r="C5" s="4" t="str">
        <f t="shared" si="0"/>
        <v>TMA Solutions Bình Định</v>
      </c>
      <c r="D5" s="4" t="str">
        <f t="shared" si="1"/>
        <v>Lập trình viên</v>
      </c>
      <c r="E5" s="4" t="str">
        <f t="shared" si="2"/>
        <v>20</v>
      </c>
      <c r="F5" s="4"/>
    </row>
    <row r="6" spans="1:26" ht="22" thickTop="1" thickBot="1" x14ac:dyDescent="0.55000000000000004">
      <c r="A6" s="4">
        <v>5</v>
      </c>
      <c r="B6" s="34" t="s">
        <v>101</v>
      </c>
      <c r="C6" s="4" t="str">
        <f t="shared" si="0"/>
        <v>FPT-Software Bình Định</v>
      </c>
      <c r="D6" s="4" t="str">
        <f t="shared" si="1"/>
        <v>Phân tích kinh doanh</v>
      </c>
      <c r="E6" s="4" t="str">
        <f t="shared" si="2"/>
        <v>07</v>
      </c>
      <c r="F6" s="4"/>
      <c r="L6" s="1"/>
    </row>
    <row r="7" spans="1:26" ht="22" thickTop="1" thickBot="1" x14ac:dyDescent="0.55000000000000004">
      <c r="A7" s="4">
        <v>6</v>
      </c>
      <c r="B7" s="34" t="s">
        <v>100</v>
      </c>
      <c r="C7" s="4" t="str">
        <f>IF(LEFT(B7,3)="TMA","TMA Solutions Bình Định","FPT-Software Bình Định")</f>
        <v>FPT-Software Bình Định</v>
      </c>
      <c r="D7" s="4" t="str">
        <f t="shared" si="1"/>
        <v>Kế toán</v>
      </c>
      <c r="E7" s="4" t="str">
        <f t="shared" si="2"/>
        <v>05</v>
      </c>
      <c r="F7" s="4"/>
    </row>
    <row r="8" spans="1:26" ht="15.5" thickTop="1" thickBot="1" x14ac:dyDescent="0.4"/>
    <row r="9" spans="1:26" ht="22" thickTop="1" thickBot="1" x14ac:dyDescent="0.55000000000000004">
      <c r="B9" s="33" t="s">
        <v>102</v>
      </c>
      <c r="C9" s="33"/>
      <c r="D9" s="35" t="s">
        <v>91</v>
      </c>
      <c r="E9" s="4" t="str">
        <f>RIGHT(LEFT(B2,5),2)</f>
        <v>02</v>
      </c>
    </row>
    <row r="10" spans="1:26" ht="22" thickTop="1" thickBot="1" x14ac:dyDescent="0.55000000000000004">
      <c r="B10" s="32" t="s">
        <v>103</v>
      </c>
      <c r="C10" s="32" t="s">
        <v>104</v>
      </c>
      <c r="E10" s="4" t="str">
        <f t="shared" ref="E10:E13" si="3">RIGHT(LEFT(B3,5),2)</f>
        <v>05</v>
      </c>
    </row>
    <row r="11" spans="1:26" ht="22" thickTop="1" thickBot="1" x14ac:dyDescent="0.55000000000000004">
      <c r="B11" s="32" t="s">
        <v>110</v>
      </c>
      <c r="C11" s="32" t="s">
        <v>105</v>
      </c>
      <c r="E11" s="4" t="str">
        <f t="shared" si="3"/>
        <v>15</v>
      </c>
    </row>
    <row r="12" spans="1:26" ht="22" thickTop="1" thickBot="1" x14ac:dyDescent="0.55000000000000004">
      <c r="B12" s="32" t="s">
        <v>109</v>
      </c>
      <c r="C12" s="32" t="s">
        <v>106</v>
      </c>
      <c r="E12" s="4" t="str">
        <f t="shared" si="3"/>
        <v>20</v>
      </c>
    </row>
    <row r="13" spans="1:26" ht="22" thickTop="1" thickBot="1" x14ac:dyDescent="0.55000000000000004">
      <c r="B13" s="32" t="s">
        <v>108</v>
      </c>
      <c r="C13" s="32" t="s">
        <v>107</v>
      </c>
      <c r="E13" s="4" t="str">
        <f t="shared" si="3"/>
        <v>07</v>
      </c>
    </row>
    <row r="14" spans="1:26" ht="22" thickTop="1" thickBot="1" x14ac:dyDescent="0.55000000000000004">
      <c r="E14" s="4" t="str">
        <f>RIGHT(LEFT(B7,5),2)</f>
        <v>05</v>
      </c>
    </row>
    <row r="15" spans="1:26" ht="15" thickTop="1" x14ac:dyDescent="0.35"/>
  </sheetData>
  <mergeCells count="5">
    <mergeCell ref="B9:C9"/>
    <mergeCell ref="H1:L1"/>
    <mergeCell ref="H3:R3"/>
    <mergeCell ref="H4:R4"/>
    <mergeCell ref="H2:Z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Bài 1</vt:lpstr>
      <vt:lpstr>Bài 2</vt:lpstr>
      <vt:lpstr>Bài 3</vt:lpstr>
      <vt:lpstr>Bài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 vi tran</dc:creator>
  <cp:lastModifiedBy>vi vi tran</cp:lastModifiedBy>
  <dcterms:created xsi:type="dcterms:W3CDTF">2026-08-19T12:26:25Z</dcterms:created>
  <dcterms:modified xsi:type="dcterms:W3CDTF">2026-08-20T17:05:32Z</dcterms:modified>
</cp:coreProperties>
</file>